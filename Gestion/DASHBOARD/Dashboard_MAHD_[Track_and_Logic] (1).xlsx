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MAHD Estructura y Aut" sheetId="1" r:id="rId5"/>
    <sheet state="visible" name="Matriz de Madurez" sheetId="2" r:id="rId6"/>
  </sheets>
  <definedNames/>
  <calcPr/>
</workbook>
</file>

<file path=xl/sharedStrings.xml><?xml version="1.0" encoding="utf-8"?>
<sst xmlns="http://schemas.openxmlformats.org/spreadsheetml/2006/main" count="79" uniqueCount="66">
  <si>
    <t>DASHBOARD MAHD: ESTRUCTURA Y AUTOMATIZACIÓN</t>
  </si>
  <si>
    <t>PROGRESO TOTAL:</t>
  </si>
  <si>
    <t>ESTADO DEL EQUIPO:</t>
  </si>
  <si>
    <t>FASE / PILAR MAHD</t>
  </si>
  <si>
    <t>CRITERIO DE AUDITORÍA (Lo que deben cumplir y demostrar)</t>
  </si>
  <si>
    <t>CRITERIO DE AUDITORÍA (Lo que deben cumplir y demostrar) 2</t>
  </si>
  <si>
    <t>ENLACE A EVIDENCIA (GitHub/Drive)</t>
  </si>
  <si>
    <t>1. ON-Ramp &amp; Plan</t>
  </si>
  <si>
    <r>
      <rPr>
        <rFont val="Arial"/>
        <i/>
        <color theme="1"/>
      </rPr>
      <t>Matriz de Enfoque:</t>
    </r>
    <r>
      <rPr>
        <rFont val="Arial"/>
        <color theme="1"/>
      </rPr>
      <t xml:space="preserve"> Consolida las historias de usuario y los atributos del producto, estableciendo la prioridad exacta de lo que se debe construir según su valor y riesgo técnico.</t>
    </r>
  </si>
  <si>
    <r>
      <rPr>
        <i/>
        <color rgb="FF434343"/>
        <u/>
      </rPr>
      <t>https://docs.google.com/document/d/1xS7zCijFur0eZbQYyPuXIk2rND38SreK/edit</t>
    </r>
    <r>
      <rPr>
        <i/>
        <color rgb="FF1F1F1F"/>
      </rPr>
      <t xml:space="preserve"> </t>
    </r>
  </si>
  <si>
    <r>
      <rPr>
        <rFont val="Arial"/>
        <b val="0"/>
        <i/>
        <color theme="1"/>
      </rPr>
      <t>Matriz de Requisitos:</t>
    </r>
    <r>
      <rPr>
        <rFont val="Arial"/>
        <b/>
        <color theme="1"/>
      </rPr>
      <t xml:space="preserve"> </t>
    </r>
    <r>
      <rPr>
        <rFont val="Arial"/>
        <b val="0"/>
        <color theme="1"/>
      </rPr>
      <t>Los atributos priorizados en el enfoque están traducidos a especificaciones técnicas, funciones medibles y requisitos cuantificables.</t>
    </r>
  </si>
  <si>
    <r>
      <rPr>
        <i/>
        <color rgb="FF1155CC"/>
        <u/>
      </rPr>
      <t>https://drive.google.com/drive/u/1/folders/16SrWn1pLvenryTY4D2ruQ_lnDCoEQh7_</t>
    </r>
    <r>
      <rPr>
        <i/>
      </rPr>
      <t xml:space="preserve"> </t>
    </r>
  </si>
  <si>
    <r>
      <rPr>
        <rFont val="Arial"/>
        <i/>
        <color theme="1"/>
      </rPr>
      <t>Hardware Backlog y Presupuesto:</t>
    </r>
    <r>
      <rPr>
        <rFont val="Arial"/>
        <color theme="1"/>
      </rPr>
      <t xml:space="preserve"> Existe una lista de módulos físicos a construir (derivada de la Matriz de Enfoque), acompañada de su presupuesto estimado (BOM) y Costo Unitario (CVU).</t>
    </r>
  </si>
  <si>
    <t xml:space="preserve">https://github.com/SamuelLopez2410/CDIO3_Eq06_TrackLogic/blob/main/Gestion/BOOM/Herramientas%20Auditoria%20y%20Planeación..xlsx </t>
  </si>
  <si>
    <r>
      <rPr>
        <rFont val="Arial"/>
        <i/>
        <color theme="1"/>
      </rPr>
      <t>Planificación MAHD:</t>
    </r>
    <r>
      <rPr>
        <rFont val="Arial"/>
        <color theme="1"/>
      </rPr>
      <t xml:space="preserve"> El plan de iteraciones (IPAC) está definido y sincronizado con el cronograma maestro del semestre, estableciendo fechas precisas de inicio y fin para cada ciclo.</t>
    </r>
  </si>
  <si>
    <r>
      <rPr>
        <i/>
        <color rgb="FF1155CC"/>
        <u/>
      </rPr>
      <t>https://github.com/SamuelLopez2410/CDIO3_Eq06_TrackLogic/blob/main/Gestion/IPAC/Plan_IPAC_TrackLogic.docx</t>
    </r>
    <r>
      <rPr>
        <i/>
      </rPr>
      <t xml:space="preserve"> </t>
    </r>
  </si>
  <si>
    <t>2. Gestión Ágil (Kanban)</t>
  </si>
  <si>
    <r>
      <rPr>
        <rFont val="Arial"/>
        <i/>
        <color theme="1"/>
      </rPr>
      <t>Tablero en Tiempo Real:</t>
    </r>
    <r>
      <rPr>
        <rFont val="Arial"/>
        <color theme="1"/>
      </rPr>
      <t xml:space="preserve"> El tablero refleja el estado del trabajo a HOY. Cada tarea tiene un responsable asignado.</t>
    </r>
  </si>
  <si>
    <r>
      <rPr>
        <i/>
        <color rgb="FF1155CC"/>
        <u/>
      </rPr>
      <t>https://github.com/users/SamuelLopez2410/projects/1</t>
    </r>
    <r>
      <rPr>
        <i/>
      </rPr>
      <t xml:space="preserve"> </t>
    </r>
  </si>
  <si>
    <r>
      <rPr>
        <rFont val="Arial"/>
        <i/>
        <color theme="1"/>
      </rPr>
      <t xml:space="preserve">Límites WIP y Foco: </t>
    </r>
    <r>
      <rPr>
        <rFont val="Arial"/>
        <color theme="1"/>
      </rPr>
      <t>Se respetan los límites de Trabajo en Progreso (WIP) para evitar "cuellos de botella". Las tareas activas corresponden al objetivo del IPAC vigente.</t>
    </r>
  </si>
  <si>
    <t>https://github.com/users/SamuelLopez2410/projects/1</t>
  </si>
  <si>
    <t>3. Control de Versiones (GitHub)</t>
  </si>
  <si>
    <r>
      <rPr>
        <rFont val="Arial"/>
        <i/>
        <color theme="1"/>
      </rPr>
      <t xml:space="preserve">Estrategia de Ramas: </t>
    </r>
    <r>
      <rPr>
        <rFont val="Arial"/>
        <color theme="1"/>
      </rPr>
      <t>Se implementa una estructura de ramas (branching), aislando el desarrollo de nuevas funciones, sensores o pruebas de la rama principal (main).</t>
    </r>
  </si>
  <si>
    <r>
      <rPr>
        <i/>
        <color rgb="FF1155CC"/>
        <u/>
      </rPr>
      <t>https://github.com/SamuelLopez2410/CDIO3_Eq06_TrackLogic</t>
    </r>
    <r>
      <rPr>
        <i/>
      </rPr>
      <t xml:space="preserve"> </t>
    </r>
  </si>
  <si>
    <r>
      <rPr>
        <rFont val="Arial"/>
        <i/>
        <color theme="1"/>
      </rPr>
      <t>Commits Semánticos:</t>
    </r>
    <r>
      <rPr>
        <rFont val="Arial"/>
        <color theme="1"/>
      </rPr>
      <t xml:space="preserve"> El historial de control de versiones presenta commits atómicos y descriptivos que explican con claridad qué cambio se realizó y por qué.</t>
    </r>
  </si>
  <si>
    <t>4. Calidad y Pruebas (V&amp;V)</t>
  </si>
  <si>
    <r>
      <rPr>
        <rFont val="Arial"/>
        <i/>
        <color theme="1"/>
      </rPr>
      <t>Definition of Done (DoD):</t>
    </r>
    <r>
      <rPr>
        <rFont val="Arial"/>
        <color theme="1"/>
      </rPr>
      <t xml:space="preserve"> Está documentado y establece las tolerancias y parámetros técnicos exactos bajo los cuales una tarea o IPAC se considera terminado (visible en tablero).</t>
    </r>
  </si>
  <si>
    <r>
      <rPr>
        <i/>
        <color rgb="FF1155CC"/>
        <u/>
      </rPr>
      <t>https://github.com/SamuelLopez2410/CDIO3_Eq06_TrackLogic/blob/main/Gestion/DOD/DoD_Chaleco_Atleta.xlsx</t>
    </r>
    <r>
      <rPr>
        <i/>
      </rPr>
      <t xml:space="preserve"> </t>
    </r>
  </si>
  <si>
    <r>
      <rPr>
        <rFont val="Arial"/>
        <i/>
        <color theme="1"/>
      </rPr>
      <t>Protocolo de pruebas Industrial:</t>
    </r>
    <r>
      <rPr>
        <rFont val="Arial"/>
        <color theme="1"/>
      </rPr>
      <t xml:space="preserve"> El procedimiento paso a paso para la verificación técnica y la validación con el cliente está redactado antes de la ejecución de las pruebas.</t>
    </r>
  </si>
  <si>
    <r>
      <rPr>
        <i/>
        <color rgb="FF1155CC"/>
        <u/>
      </rPr>
      <t>https://github.com/SamuelLopez2410/CDIO3_Eq06_TrackLogic/blob/main/Protocolo%20de%20pruebas/Plantilla%20de%20Protocolos%20de%20Prueba.xlsx</t>
    </r>
    <r>
      <rPr>
        <i/>
      </rPr>
      <t xml:space="preserve"> </t>
    </r>
  </si>
  <si>
    <r>
      <rPr>
        <rFont val="Arial"/>
        <i/>
        <color theme="1"/>
      </rPr>
      <t>Trazabilidad y Bitácora:</t>
    </r>
    <r>
      <rPr>
        <rFont val="Arial"/>
        <color theme="1"/>
      </rPr>
      <t xml:space="preserve"> Toda prueba ejecutada está registrada indicando su resultado (éxito/fallo) y vinculada directamente a un requisito específico de la matriz del ON-Ramp.</t>
    </r>
  </si>
  <si>
    <t>[Link a Bitácora]</t>
  </si>
  <si>
    <t>5. Resultados de Diseño</t>
  </si>
  <si>
    <r>
      <rPr>
        <rFont val="Arial"/>
        <i/>
        <color theme="1"/>
      </rPr>
      <t>Planos As-Built:</t>
    </r>
    <r>
      <rPr>
        <rFont val="Arial"/>
        <color theme="1"/>
      </rPr>
      <t xml:space="preserve"> La documentación técnica (diagramas esquemáticos, modelos mecánicos 3D) está actualizada y refleja de manera exacta el hardware físico construido a la fecha.</t>
    </r>
  </si>
  <si>
    <r>
      <rPr>
        <i/>
        <color rgb="FF1155CC"/>
        <u/>
      </rPr>
      <t>https://github.com/SamuelLopez2410/CDIO3_Eq06_TrackLogic/tree/main/02_Hardware</t>
    </r>
    <r>
      <rPr>
        <i/>
        <color rgb="FF1F1F1F"/>
      </rPr>
      <t xml:space="preserve"> </t>
    </r>
  </si>
  <si>
    <r>
      <rPr>
        <rFont val="Arial"/>
        <i/>
        <color theme="1"/>
      </rPr>
      <t>Auditoría de Costos Real:</t>
    </r>
    <r>
      <rPr>
        <rFont val="Arial"/>
        <color theme="1"/>
      </rPr>
      <t xml:space="preserve"> La estimación de costos (BOM/CVU) se encuentra actualizada basándose en el valor real de los componentes adquiridos e integrados.</t>
    </r>
  </si>
  <si>
    <t>https://docs.google.com/spreadsheets/d/1fPodcII3VYGFyBV-JPuu46LecDMSIO2AFWUobsBMqbw/edit?gid=728356188#gid=728356188</t>
  </si>
  <si>
    <t>6. Cierre &amp; Mejora Continua</t>
  </si>
  <si>
    <r>
      <rPr>
        <rFont val="Arial"/>
        <i/>
        <color theme="1"/>
      </rPr>
      <t>Retrospectiva del IPAC:</t>
    </r>
    <r>
      <rPr>
        <rFont val="Arial"/>
        <color theme="1"/>
      </rPr>
      <t xml:space="preserve"> Se diligencia el formato de "Lecciones Aprendidas" tras finalizar el último ciclo IPAC, identificando fallos y documentando soluciones claras para no repetirlos.en la siguiente iteración.</t>
    </r>
  </si>
  <si>
    <t>[Link a Lecciones]</t>
  </si>
  <si>
    <r>
      <rPr>
        <rFont val="Arial"/>
        <i/>
        <color theme="1"/>
      </rPr>
      <t xml:space="preserve">Portafolio CDIO: </t>
    </r>
    <r>
      <rPr>
        <rFont val="Arial"/>
        <color theme="1"/>
      </rPr>
      <t>Toda la documentación e hitos del proyecto se encuentra consolidada y lista para ser presentada ante una auditoría técnica o validación con cliente.</t>
    </r>
  </si>
  <si>
    <t>[Link al Portafolio]</t>
  </si>
  <si>
    <t>🔴 Riesgo Crítico (Nivel Novato)</t>
  </si>
  <si>
    <t>🟠 Trabajo Empírico (Nivel Competente)</t>
  </si>
  <si>
    <t>🟢 Nivel de Ingeniería (Nivel Destacado)</t>
  </si>
  <si>
    <t>1. ON-Ramp &amp; Planificación</t>
  </si>
  <si>
    <t>Se construye de forma improvisada. No existen matrices de enfoque ni requisitos. El presupuesto es desconocido y no hay un cronograma alineado con los ciclos IPAC.</t>
  </si>
  <si>
    <t>Las matrices y el Backlog existen, pero rara vez se consultan. Se construye sin priorizar el riesgo o el valor. El cronograma no refleja la realidad del avance.</t>
  </si>
  <si>
    <t>La Matriz de Enfoque dicta la prioridad. El Backlog y el presupuesto (BOM) están costeados. Nada se ensambla ni se compra si no está respaldado técnica y financieramente en el plan de los IPACs.</t>
  </si>
  <si>
    <t>2. Gestión Ágil (Kanban/WorkFlow)</t>
  </si>
  <si>
    <t>El tablero no se utiliza o se actualiza de manera reactiva (minutos antes de una auditoría). No hay asignación clara de responsables por tarea.</t>
  </si>
  <si>
    <t>El tablero se utiliza, pero no regula el flujo. Existen cuellos de botella masivos (demasiadas tareas en "Doing") y hay tareas activas que no pertenecen al IPAC actual.</t>
  </si>
  <si>
    <t>El tablero dirige el trabajo diario. Se respetan estrictamente los límites de Trabajo en Progreso (WIP). Si hay un bloqueo técnico, se señala y se atiende de inmediato.</t>
  </si>
  <si>
    <t>El código se comparte por canales informales (WhatsApp/Drive). Se realiza un único commit masivo al finalizar el mes, sin trazabilidad de los cambios.</t>
  </si>
  <si>
    <t>Se usa GitHub, pero todo el desarrollo se hace directamente sobre la rama main. Los commits son poco descriptivos (ej. "actualización", "código final").</t>
  </si>
  <si>
    <t>Uso estricto de estrategia de ramas (branching). Cada función o sensor tiene su rama. Los commits son atómicos, frecuentes y explican semánticamente el cambio realizado en la lógica.</t>
  </si>
  <si>
    <t>4. Calidad &amp; Pruebas (V&amp;V)</t>
  </si>
  <si>
    <t>Las pruebas se realizan al "ojo" (ej. "el LED encendió"). No existe un protocolo documentado ni un Definition of Done (DoD).</t>
  </si>
  <si>
    <t>Se realizan pruebas y hay un protocolo, pero no se ejecutan sistemáticamente. Los resultados no se asocian a un requisito original (falta trazabilidad).</t>
  </si>
  <si>
    <t>Validación basada en evidencia. Existe un Protocolo Industrial escrito previo a la prueba. El resultado se registra en bitácora y se cruza con su requisito exacto. El DoD se cumple sin excepciones.</t>
  </si>
  <si>
    <t>El prototipo físico no guarda relación con los planos iniciales. Si un componente se cambia por necesidad, los diagramas CAD/EDA no se actualizan.</t>
  </si>
  <si>
    <t>Se intentan mantener los planos, pero existen discrepancias menores con la realidad. El cálculo del Costo Unitario (CVU) está desactualizado respecto a las compras.</t>
  </si>
  <si>
    <t>Sincronización total (As-Built). Cualquier alteración en el hardware físico se actualiza inmediatamente en los esquemáticos y modelos 3D. La hoja de costos refleja el valor real con precisión.</t>
  </si>
  <si>
    <t>Los errores y fallos de integración se ignoran o se ocultan. Los mismos problemas técnicos se repiten ciclo tras ciclo sin solución estructurada.</t>
  </si>
  <si>
    <t>Se dialoga sobre los fallos ocurridos en el IPAC, pero no se documentan formalmente soluciones ni acciones preventivas para el futuro.</t>
  </si>
  <si>
    <t>Retrospectiva sistemática. Se diligencia el formato de "Lecciones Aprendidas" tras cada IPAC. Los fallos se analizan objetivamente y se documentan acciones correctivas en el Portafolio CDIO.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</si>
</sst>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rgb="FF434343"/>
      <name val="Roboto"/>
    </font>
    <font>
      <b/>
      <sz val="20.0"/>
      <color rgb="FF434343"/>
      <name val="Roboto"/>
    </font>
    <font>
      <b/>
      <sz val="24.0"/>
      <color rgb="FF434343"/>
      <name val="Roboto"/>
    </font>
    <font>
      <b/>
      <color rgb="FF434343"/>
      <name val="Roboto"/>
    </font>
    <font>
      <b/>
      <color theme="0"/>
      <name val="Roboto"/>
    </font>
    <font>
      <color theme="1"/>
      <name val="Arial"/>
      <scheme val="minor"/>
    </font>
    <font>
      <b/>
      <sz val="12.0"/>
      <color rgb="FF434343"/>
      <name val="Roboto"/>
    </font>
    <font>
      <sz val="12.0"/>
      <color rgb="FF434343"/>
      <name val="Roboto"/>
    </font>
    <font>
      <b/>
      <color theme="1"/>
      <name val="Arial"/>
      <scheme val="minor"/>
    </font>
    <font>
      <color rgb="FF0B5B2E"/>
      <name val="Arial"/>
      <scheme val="minor"/>
    </font>
    <font>
      <i/>
      <u/>
      <color rgb="FF0000FF"/>
      <name val="Roboto"/>
    </font>
    <font>
      <i/>
      <color theme="1"/>
      <name val="Arial"/>
      <scheme val="minor"/>
    </font>
    <font>
      <b/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137A3D"/>
        <bgColor rgb="FF137A3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1" numFmtId="10" xfId="0" applyAlignment="1" applyFont="1" applyNumberFormat="1">
      <alignment horizontal="right" shrinkToFit="0" wrapText="0"/>
    </xf>
    <xf borderId="0" fillId="2" fontId="2" numFmtId="0" xfId="0" applyAlignment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shrinkToFit="0" vertical="center" wrapText="0"/>
    </xf>
    <xf borderId="0" fillId="2" fontId="4" numFmtId="0" xfId="0" applyAlignment="1" applyFont="1">
      <alignment shrinkToFit="0" wrapText="0"/>
    </xf>
    <xf borderId="1" fillId="4" fontId="5" numFmtId="0" xfId="0" applyAlignment="1" applyBorder="1" applyFill="1" applyFont="1">
      <alignment shrinkToFit="0" wrapText="0"/>
    </xf>
    <xf borderId="0" fillId="0" fontId="6" numFmtId="0" xfId="0" applyAlignment="1" applyFont="1">
      <alignment horizontal="center"/>
    </xf>
    <xf borderId="0" fillId="2" fontId="7" numFmtId="9" xfId="0" applyAlignment="1" applyFont="1" applyNumberFormat="1">
      <alignment horizontal="left" shrinkToFit="0" wrapText="0"/>
    </xf>
    <xf borderId="0" fillId="2" fontId="1" numFmtId="0" xfId="0" applyAlignment="1" applyFont="1">
      <alignment horizontal="center" shrinkToFit="0" wrapText="0"/>
    </xf>
    <xf borderId="0" fillId="2" fontId="8" numFmtId="0" xfId="0" applyAlignment="1" applyFont="1">
      <alignment horizontal="right" readingOrder="0" shrinkToFit="0" wrapText="0"/>
    </xf>
    <xf borderId="0" fillId="2" fontId="1" numFmtId="0" xfId="0" applyAlignment="1" applyFont="1">
      <alignment shrinkToFit="0" wrapText="0"/>
    </xf>
    <xf borderId="0" fillId="0" fontId="6" numFmtId="0" xfId="0" applyFont="1"/>
    <xf borderId="0" fillId="0" fontId="9" numFmtId="0" xfId="0" applyAlignment="1" applyFont="1">
      <alignment readingOrder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Font="1"/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1" numFmtId="49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2" numFmtId="49" xfId="0" applyAlignment="1" applyFont="1" applyNumberFormat="1">
      <alignment readingOrder="0" shrinkToFit="0" vertical="center" wrapText="0"/>
    </xf>
    <xf borderId="0" fillId="0" fontId="12" numFmtId="49" xfId="0" applyAlignment="1" applyFont="1" applyNumberFormat="1">
      <alignment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shrinkToFit="0" vertical="center" wrapText="1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2A2E33"/>
          <bgColor rgb="FF2A2E3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border>
        <left style="thin">
          <color rgb="FF2A2E33"/>
        </left>
        <right style="thin">
          <color rgb="FF2A2E33"/>
        </right>
        <top style="thin">
          <color rgb="FF2A2E33"/>
        </top>
        <bottom style="thin">
          <color rgb="FF2A2E33"/>
        </bottom>
      </border>
    </dxf>
    <dxf>
      <font>
        <color rgb="FF78281F"/>
      </font>
      <fill>
        <patternFill patternType="solid">
          <fgColor rgb="FFFADBD8"/>
          <bgColor rgb="FFFADBD8"/>
        </patternFill>
      </fill>
      <border/>
    </dxf>
    <dxf>
      <font>
        <color rgb="FF7E5109"/>
      </font>
      <fill>
        <patternFill patternType="solid">
          <fgColor rgb="FFFDEBD0"/>
          <bgColor rgb="FFFDEBD0"/>
        </patternFill>
      </fill>
      <border/>
    </dxf>
    <dxf>
      <font>
        <color rgb="FF145A32"/>
      </font>
      <fill>
        <patternFill patternType="solid">
          <fgColor rgb="FFD5F5E3"/>
          <bgColor rgb="FFD5F5E3"/>
        </patternFill>
      </fill>
      <border/>
    </dxf>
    <dxf>
      <font/>
      <fill>
        <patternFill patternType="solid">
          <fgColor rgb="FF49564C"/>
          <bgColor rgb="FF49564C"/>
        </patternFill>
      </fill>
      <border/>
    </dxf>
  </dxfs>
  <tableStyles count="3">
    <tableStyle count="2" pivot="0" name="Dashboard MAHD Estructura y Aut-style">
      <tableStyleElement dxfId="1" type="firstRowStripe"/>
      <tableStyleElement dxfId="2" type="secondRowStripe"/>
    </tableStyle>
    <tableStyle count="4" pivot="0" name="Dashboard MAHD Estructura y Aut-style 2">
      <tableStyleElement dxfId="3" type="headerRow"/>
      <tableStyleElement dxfId="1" type="firstRowStripe"/>
      <tableStyleElement dxfId="4" type="secondRowStripe"/>
      <tableStyleElement dxfId="5" size="0" type="wholeTable"/>
    </tableStyle>
    <tableStyle count="4" pivot="0" name="Matriz de Madurez-style">
      <tableStyleElement dxfId="9" type="headerRow"/>
      <tableStyleElement dxfId="1" type="firstRowStripe"/>
      <tableStyleElement dxfId="2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600075</xdr:colOff>
      <xdr:row>1</xdr:row>
      <xdr:rowOff>47625</xdr:rowOff>
    </xdr:from>
    <xdr:ext cx="2152650" cy="685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1:F12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shboard MAHD Estructura y Aut-style" showColumnStripes="0" showFirstColumn="1" showLastColumn="1" showRowStripes="1"/>
</table>
</file>

<file path=xl/tables/table2.xml><?xml version="1.0" encoding="utf-8"?>
<table xmlns="http://schemas.openxmlformats.org/spreadsheetml/2006/main" ref="B15:E30" displayName="DASHBOARD" name="DASHBOARD" id="2">
  <tableColumns count="4">
    <tableColumn name="FASE / PILAR MAHD" id="1"/>
    <tableColumn name="CRITERIO DE AUDITORÍA (Lo que deben cumplir y demostrar)" id="2"/>
    <tableColumn name="CRITERIO DE AUDITORÍA (Lo que deben cumplir y demostrar) 2" id="3"/>
    <tableColumn name="ENLACE A EVIDENCIA (GitHub/Drive)" id="4"/>
  </tableColumns>
  <tableStyleInfo name="Dashboard MAHD Estructura y Aut-style 2" showColumnStripes="0" showFirstColumn="1" showLastColumn="1" showRowStripes="1"/>
</table>
</file>

<file path=xl/tables/table3.xml><?xml version="1.0" encoding="utf-8"?>
<table xmlns="http://schemas.openxmlformats.org/spreadsheetml/2006/main" ref="A1:D7" displayName="Matriz_Madurez" name="Matriz_Madurez" id="3">
  <tableColumns count="4">
    <tableColumn name="FASE / PILAR MAHD" id="1"/>
    <tableColumn name="🔴 Riesgo Crítico (Nivel Novato)" id="2"/>
    <tableColumn name="🟠 Trabajo Empírico (Nivel Competente)" id="3"/>
    <tableColumn name="🟢 Nivel de Ingeniería (Nivel Destacado)" id="4"/>
  </tableColumns>
  <tableStyleInfo name="Matriz de Madurez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.xml"/><Relationship Id="rId10" Type="http://schemas.openxmlformats.org/officeDocument/2006/relationships/hyperlink" Target="https://docs.google.com/spreadsheets/d/1fPodcII3VYGFyBV-JPuu46LecDMSIO2AFWUobsBMqbw/edit?gid=728356188" TargetMode="External"/><Relationship Id="rId1" Type="http://schemas.openxmlformats.org/officeDocument/2006/relationships/hyperlink" Target="https://docs.google.com/document/d/1xS7zCijFur0eZbQYyPuXIk2rND38SreK/edit" TargetMode="External"/><Relationship Id="rId2" Type="http://schemas.openxmlformats.org/officeDocument/2006/relationships/hyperlink" Target="https://drive.google.com/drive/u/1/folders/16SrWn1pLvenryTY4D2ruQ_lnDCoEQh7_" TargetMode="External"/><Relationship Id="rId3" Type="http://schemas.openxmlformats.org/officeDocument/2006/relationships/hyperlink" Target="https://github.com/SamuelLopez2410/CDIO3_Eq06_TrackLogic/blob/main/Gestion/IPAC/Plan_IPAC_TrackLogic.docx" TargetMode="External"/><Relationship Id="rId4" Type="http://schemas.openxmlformats.org/officeDocument/2006/relationships/hyperlink" Target="https://github.com/users/SamuelLopez2410/projects/1" TargetMode="External"/><Relationship Id="rId9" Type="http://schemas.openxmlformats.org/officeDocument/2006/relationships/hyperlink" Target="https://github.com/SamuelLopez2410/CDIO3_Eq06_TrackLogic/tree/main/02_Hardware" TargetMode="External"/><Relationship Id="rId15" Type="http://schemas.openxmlformats.org/officeDocument/2006/relationships/table" Target="../tables/table2.xml"/><Relationship Id="rId14" Type="http://schemas.openxmlformats.org/officeDocument/2006/relationships/table" Target="../tables/table1.xml"/><Relationship Id="rId5" Type="http://schemas.openxmlformats.org/officeDocument/2006/relationships/hyperlink" Target="https://github.com/users/SamuelLopez2410/projects/1" TargetMode="External"/><Relationship Id="rId6" Type="http://schemas.openxmlformats.org/officeDocument/2006/relationships/hyperlink" Target="https://github.com/SamuelLopez2410/CDIO3_Eq06_TrackLogic" TargetMode="External"/><Relationship Id="rId7" Type="http://schemas.openxmlformats.org/officeDocument/2006/relationships/hyperlink" Target="https://github.com/SamuelLopez2410/CDIO3_Eq06_TrackLogic/blob/main/Gestion/DOD/DoD_Chaleco_Atleta.xlsx" TargetMode="External"/><Relationship Id="rId8" Type="http://schemas.openxmlformats.org/officeDocument/2006/relationships/hyperlink" Target="https://github.com/SamuelLopez2410/CDIO3_Eq06_TrackLogic/blob/main/Protocolo%20de%20pruebas/Plantilla%20de%20Protocolos%20de%20Prueba.xlsx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75"/>
  <cols>
    <col customWidth="1" min="1" max="1" width="8.13"/>
    <col customWidth="1" min="2" max="2" width="21.25"/>
    <col customWidth="1" min="3" max="3" width="69.88"/>
    <col customWidth="1" min="4" max="4" width="15.0"/>
    <col customWidth="1" min="5" max="5" width="36.75"/>
    <col customWidth="1" min="6" max="6" width="16.0"/>
    <col hidden="1" min="7" max="27" width="12.63"/>
  </cols>
  <sheetData>
    <row r="1">
      <c r="A1" s="1"/>
      <c r="B1" s="1"/>
      <c r="C1" s="2"/>
      <c r="D1" s="1"/>
      <c r="E1" s="1"/>
    </row>
    <row r="2">
      <c r="A2" s="1"/>
      <c r="B2" s="1"/>
      <c r="C2" s="2"/>
      <c r="D2" s="1"/>
      <c r="E2" s="1"/>
    </row>
    <row r="3">
      <c r="A3" s="1"/>
      <c r="B3" s="1"/>
      <c r="C3" s="2"/>
      <c r="D3" s="1"/>
      <c r="E3" s="1"/>
    </row>
    <row r="4">
      <c r="A4" s="1"/>
      <c r="B4" s="1"/>
      <c r="C4" s="2"/>
      <c r="D4" s="1"/>
      <c r="E4" s="1"/>
    </row>
    <row r="5">
      <c r="A5" s="1"/>
      <c r="B5" s="1"/>
      <c r="C5" s="2"/>
      <c r="D5" s="1"/>
      <c r="E5" s="1"/>
    </row>
    <row r="6">
      <c r="A6" s="3"/>
      <c r="B6" s="4" t="s">
        <v>0</v>
      </c>
    </row>
    <row r="7">
      <c r="A7" s="3"/>
    </row>
    <row r="8">
      <c r="A8" s="3"/>
    </row>
    <row r="9">
      <c r="A9" s="3"/>
    </row>
    <row r="10">
      <c r="A10" s="3"/>
    </row>
    <row r="11">
      <c r="A11" s="5"/>
      <c r="B11" s="6" t="s">
        <v>1</v>
      </c>
      <c r="C11" s="7" t="str">
        <f>IFERROR(__xludf.DUMMYFUNCTION("SPARKLINE(D11, {""charttype"",""bar""; ""max"",1; ""color1"",""#137A3D""})"),"")</f>
        <v/>
      </c>
      <c r="D11" s="8">
        <f>COUNTIF(D16:D30, TRUE)/COUNTA(C16:C30)</f>
        <v>0.8</v>
      </c>
    </row>
    <row r="12">
      <c r="A12" s="5"/>
      <c r="B12" s="6" t="s">
        <v>2</v>
      </c>
      <c r="C12" s="9" t="str">
        <f>IF(D11&lt;0.5, "🔴 RIESGO CRÍTICO", IF(D11&lt;0.8, "🟠 TRABAJO EMPÍRICO (NIVEL COMPETENTE)", "🟢 NIVEL DE INGENIERÍA (NIVEL DESTACADO)"))</f>
        <v>🟢 NIVEL DE INGENIERÍA (NIVEL DESTACADO)</v>
      </c>
      <c r="D12" s="10"/>
      <c r="E12" s="5"/>
      <c r="F12" s="11"/>
    </row>
    <row r="13">
      <c r="A13" s="12"/>
      <c r="B13" s="12"/>
      <c r="C13" s="12"/>
      <c r="D13" s="12"/>
      <c r="E13" s="12"/>
    </row>
    <row r="15" ht="22.5" customHeight="1">
      <c r="A15" s="13"/>
      <c r="B15" s="14" t="s">
        <v>3</v>
      </c>
      <c r="C15" s="14" t="s">
        <v>4</v>
      </c>
      <c r="D15" s="14" t="s">
        <v>5</v>
      </c>
      <c r="E15" s="14" t="s">
        <v>6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ht="22.5" customHeight="1">
      <c r="A16" s="16"/>
      <c r="B16" s="17" t="s">
        <v>7</v>
      </c>
      <c r="C16" s="18" t="s">
        <v>8</v>
      </c>
      <c r="D16" s="19" t="b">
        <v>1</v>
      </c>
      <c r="E16" s="20" t="s">
        <v>9</v>
      </c>
    </row>
    <row r="17" ht="22.5" customHeight="1">
      <c r="A17" s="16"/>
      <c r="B17" s="17" t="s">
        <v>7</v>
      </c>
      <c r="C17" s="21" t="s">
        <v>10</v>
      </c>
      <c r="D17" s="19" t="b">
        <v>1</v>
      </c>
      <c r="E17" s="20" t="s">
        <v>11</v>
      </c>
    </row>
    <row r="18" ht="22.5" customHeight="1">
      <c r="A18" s="16"/>
      <c r="B18" s="17" t="s">
        <v>7</v>
      </c>
      <c r="C18" s="18" t="s">
        <v>12</v>
      </c>
      <c r="D18" s="19" t="b">
        <v>1</v>
      </c>
      <c r="E18" s="22" t="s">
        <v>13</v>
      </c>
    </row>
    <row r="19" ht="22.5" customHeight="1">
      <c r="A19" s="16"/>
      <c r="B19" s="17" t="s">
        <v>7</v>
      </c>
      <c r="C19" s="18" t="s">
        <v>14</v>
      </c>
      <c r="D19" s="19" t="b">
        <v>1</v>
      </c>
      <c r="E19" s="20" t="s">
        <v>15</v>
      </c>
    </row>
    <row r="20" ht="22.5" customHeight="1">
      <c r="A20" s="16"/>
      <c r="B20" s="17" t="s">
        <v>16</v>
      </c>
      <c r="C20" s="18" t="s">
        <v>17</v>
      </c>
      <c r="D20" s="19" t="b">
        <v>1</v>
      </c>
      <c r="E20" s="20" t="s">
        <v>18</v>
      </c>
    </row>
    <row r="21" ht="22.5" customHeight="1">
      <c r="A21" s="16"/>
      <c r="B21" s="17" t="s">
        <v>16</v>
      </c>
      <c r="C21" s="18" t="s">
        <v>19</v>
      </c>
      <c r="D21" s="19" t="b">
        <v>1</v>
      </c>
      <c r="E21" s="20" t="s">
        <v>20</v>
      </c>
    </row>
    <row r="22" ht="22.5" customHeight="1">
      <c r="A22" s="16"/>
      <c r="B22" s="17" t="s">
        <v>21</v>
      </c>
      <c r="C22" s="18" t="s">
        <v>22</v>
      </c>
      <c r="D22" s="19" t="b">
        <v>1</v>
      </c>
      <c r="E22" s="20" t="s">
        <v>23</v>
      </c>
    </row>
    <row r="23" ht="22.5" customHeight="1">
      <c r="A23" s="16"/>
      <c r="B23" s="17" t="s">
        <v>21</v>
      </c>
      <c r="C23" s="18" t="s">
        <v>24</v>
      </c>
      <c r="D23" s="19" t="b">
        <v>1</v>
      </c>
      <c r="E23" s="23"/>
    </row>
    <row r="24" ht="22.5" customHeight="1">
      <c r="A24" s="16"/>
      <c r="B24" s="17" t="s">
        <v>25</v>
      </c>
      <c r="C24" s="18" t="s">
        <v>26</v>
      </c>
      <c r="D24" s="19" t="b">
        <v>1</v>
      </c>
      <c r="E24" s="20" t="s">
        <v>27</v>
      </c>
    </row>
    <row r="25" ht="22.5" customHeight="1">
      <c r="A25" s="16"/>
      <c r="B25" s="17" t="s">
        <v>25</v>
      </c>
      <c r="C25" s="18" t="s">
        <v>28</v>
      </c>
      <c r="D25" s="19" t="b">
        <v>1</v>
      </c>
      <c r="E25" s="20" t="s">
        <v>29</v>
      </c>
    </row>
    <row r="26" ht="22.5" customHeight="1">
      <c r="A26" s="16"/>
      <c r="B26" s="17" t="s">
        <v>25</v>
      </c>
      <c r="C26" s="18" t="s">
        <v>30</v>
      </c>
      <c r="D26" s="19" t="b">
        <v>0</v>
      </c>
      <c r="E26" s="22" t="s">
        <v>31</v>
      </c>
    </row>
    <row r="27" ht="22.5" customHeight="1">
      <c r="A27" s="16"/>
      <c r="B27" s="17" t="s">
        <v>32</v>
      </c>
      <c r="C27" s="18" t="s">
        <v>33</v>
      </c>
      <c r="D27" s="19" t="b">
        <v>1</v>
      </c>
      <c r="E27" s="20" t="s">
        <v>34</v>
      </c>
    </row>
    <row r="28" ht="22.5" customHeight="1">
      <c r="A28" s="16"/>
      <c r="B28" s="17" t="s">
        <v>32</v>
      </c>
      <c r="C28" s="18" t="s">
        <v>35</v>
      </c>
      <c r="D28" s="19" t="b">
        <v>1</v>
      </c>
      <c r="E28" s="20" t="s">
        <v>36</v>
      </c>
    </row>
    <row r="29" ht="22.5" customHeight="1">
      <c r="B29" s="17" t="s">
        <v>37</v>
      </c>
      <c r="C29" s="18" t="s">
        <v>38</v>
      </c>
      <c r="D29" s="19" t="b">
        <v>0</v>
      </c>
      <c r="E29" s="22" t="s">
        <v>39</v>
      </c>
    </row>
    <row r="30" ht="22.5" customHeight="1">
      <c r="B30" s="17" t="s">
        <v>37</v>
      </c>
      <c r="C30" s="18" t="s">
        <v>40</v>
      </c>
      <c r="D30" s="19" t="b">
        <v>0</v>
      </c>
      <c r="E30" s="22" t="s">
        <v>41</v>
      </c>
    </row>
  </sheetData>
  <mergeCells count="1">
    <mergeCell ref="B6:E10"/>
  </mergeCells>
  <conditionalFormatting sqref="C12">
    <cfRule type="containsText" dxfId="6" priority="1" operator="containsText" text="RIESGO CRÍTICO">
      <formula>NOT(ISERROR(SEARCH(("RIESGO CRÍTICO"),(C12))))</formula>
    </cfRule>
  </conditionalFormatting>
  <conditionalFormatting sqref="C12">
    <cfRule type="containsText" dxfId="7" priority="2" operator="containsText" text="EMPÍRICO">
      <formula>NOT(ISERROR(SEARCH(("EMPÍRICO"),(C12))))</formula>
    </cfRule>
  </conditionalFormatting>
  <conditionalFormatting sqref="C12">
    <cfRule type="containsText" dxfId="8" priority="3" operator="containsText" text="NIVEL INGENIERÍA">
      <formula>NOT(ISERROR(SEARCH(("NIVEL INGENIERÍA"),(C12))))</formula>
    </cfRule>
  </conditionalFormatting>
  <dataValidations>
    <dataValidation type="list" allowBlank="1" sqref="B16:B30">
      <formula1>"1. ON-Ramp &amp; Plan,2. Gestión Ágil (Kanban),3. Control de Versiones (GitHub),4. Calidad y Pruebas (V&amp;V),5. Resultados de Diseño,6. Cierre &amp; Mejora Continua"</formula1>
    </dataValidation>
    <dataValidation allowBlank="1" showDropDown="1" sqref="E16:E30"/>
  </dataValidations>
  <hyperlinks>
    <hyperlink r:id="rId1" ref="E16"/>
    <hyperlink r:id="rId2" ref="E17"/>
    <hyperlink r:id="rId3" ref="E19"/>
    <hyperlink r:id="rId4" ref="E20"/>
    <hyperlink r:id="rId5" ref="E21"/>
    <hyperlink r:id="rId6" ref="E22"/>
    <hyperlink r:id="rId7" ref="E24"/>
    <hyperlink r:id="rId8" ref="E25"/>
    <hyperlink r:id="rId9" ref="E27"/>
    <hyperlink r:id="rId10" location="gid=728356188" ref="E2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"/>
  <tableParts count="2"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  <col customWidth="1" min="2" max="4" width="37.63"/>
  </cols>
  <sheetData>
    <row r="1" ht="22.5" customHeight="1">
      <c r="A1" s="24" t="s">
        <v>3</v>
      </c>
      <c r="B1" s="24" t="s">
        <v>42</v>
      </c>
      <c r="C1" s="24" t="s">
        <v>43</v>
      </c>
      <c r="D1" s="24" t="s">
        <v>44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22.5" customHeight="1">
      <c r="A2" s="25" t="s">
        <v>45</v>
      </c>
      <c r="B2" s="26" t="s">
        <v>46</v>
      </c>
      <c r="C2" s="26" t="s">
        <v>47</v>
      </c>
      <c r="D2" s="25" t="s">
        <v>48</v>
      </c>
    </row>
    <row r="3" ht="22.5" customHeight="1">
      <c r="A3" s="25" t="s">
        <v>49</v>
      </c>
      <c r="B3" s="26" t="s">
        <v>50</v>
      </c>
      <c r="C3" s="26" t="s">
        <v>51</v>
      </c>
      <c r="D3" s="25" t="s">
        <v>52</v>
      </c>
    </row>
    <row r="4" ht="22.5" customHeight="1">
      <c r="A4" s="25" t="s">
        <v>21</v>
      </c>
      <c r="B4" s="26" t="s">
        <v>53</v>
      </c>
      <c r="C4" s="26" t="s">
        <v>54</v>
      </c>
      <c r="D4" s="25" t="s">
        <v>55</v>
      </c>
    </row>
    <row r="5" ht="22.5" customHeight="1">
      <c r="A5" s="25" t="s">
        <v>56</v>
      </c>
      <c r="B5" s="26" t="s">
        <v>57</v>
      </c>
      <c r="C5" s="26" t="s">
        <v>58</v>
      </c>
      <c r="D5" s="25" t="s">
        <v>59</v>
      </c>
    </row>
    <row r="6" ht="22.5" customHeight="1">
      <c r="A6" s="25" t="s">
        <v>32</v>
      </c>
      <c r="B6" s="26" t="s">
        <v>60</v>
      </c>
      <c r="C6" s="26" t="s">
        <v>61</v>
      </c>
      <c r="D6" s="25" t="s">
        <v>62</v>
      </c>
    </row>
    <row r="7" ht="22.5" customHeight="1">
      <c r="A7" s="25" t="s">
        <v>37</v>
      </c>
      <c r="B7" s="26" t="s">
        <v>63</v>
      </c>
      <c r="C7" s="26" t="s">
        <v>64</v>
      </c>
      <c r="D7" s="25" t="s">
        <v>65</v>
      </c>
    </row>
  </sheetData>
  <drawing r:id="rId1"/>
  <tableParts count="1">
    <tablePart r:id="rId3"/>
  </tableParts>
</worksheet>
</file>