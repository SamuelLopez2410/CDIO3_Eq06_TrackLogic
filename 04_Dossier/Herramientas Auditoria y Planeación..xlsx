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ia\OneDrive\Documentos\7TO SEMESTRE\CDIO_III\"/>
    </mc:Choice>
  </mc:AlternateContent>
  <xr:revisionPtr revIDLastSave="0" documentId="8_{AC444830-C81F-49AA-9CA7-F84DA55E7B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ventario" sheetId="1" r:id="rId1"/>
    <sheet name="Inventario_Subsistema" sheetId="2" r:id="rId2"/>
    <sheet name="Auditoría_Diseño" sheetId="3" r:id="rId3"/>
    <sheet name="BOM_Sourcing" sheetId="4" r:id="rId4"/>
    <sheet name="Planificador_Sprint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<sst xmlns="http://schemas.openxmlformats.org/spreadsheetml/2006/main" count="181" uniqueCount="140">
  <si>
    <t>ID</t>
  </si>
  <si>
    <t>Activo / Módulo</t>
  </si>
  <si>
    <t>Estado del Archivo (Fuente)</t>
  </si>
  <si>
    <t>Nivel de Madurez (¿Qué es esto?)</t>
  </si>
  <si>
    <t>Acción Inmediata</t>
  </si>
  <si>
    <t>HW-01</t>
  </si>
  <si>
    <t>Esquemático Principal</t>
  </si>
  <si>
    <t>HW-02</t>
  </si>
  <si>
    <t>Diseño de PCB (Board)</t>
  </si>
  <si>
    <t>FW-01</t>
  </si>
  <si>
    <t>Código Lectura Sensor</t>
  </si>
  <si>
    <t>✅ Archivo .ino</t>
  </si>
  <si>
    <t>MEC-01</t>
  </si>
  <si>
    <t>Carcasa del Dispositivo</t>
  </si>
  <si>
    <t>Subsistema</t>
  </si>
  <si>
    <t>Componente Clave (Nombre/Ref)</t>
  </si>
  <si>
    <t>Archivo Fuente (¿Lo tengo?)</t>
  </si>
  <si>
    <t>Hoja de Datos (¿La leí?)</t>
  </si>
  <si>
    <t>Estado del Diseño</t>
  </si>
  <si>
    <t>✅ Sí (PDF)</t>
  </si>
  <si>
    <t>✅ Esquemático</t>
  </si>
  <si>
    <t>✅ Sí</t>
  </si>
  <si>
    <t>5. Mecánica</t>
  </si>
  <si>
    <t>N/A</t>
  </si>
  <si>
    <t>Elemento Crítico</t>
  </si>
  <si>
    <t>Veredicto (Pasa/Falla)</t>
  </si>
  <si>
    <t>EVIDENCIA OBLIGATORIA (No Opiniones)</t>
  </si>
  <si>
    <t>Acción Requerida</t>
  </si>
  <si>
    <t>Energía</t>
  </si>
  <si>
    <t>Control</t>
  </si>
  <si>
    <t>Mecánica</t>
  </si>
  <si>
    <t>Nivel</t>
  </si>
  <si>
    <t>Ítem (Descripción)</t>
  </si>
  <si>
    <t>MPN (Manufacturer Part Number)</t>
  </si>
  <si>
    <t>Proveedor (Link)</t>
  </si>
  <si>
    <t>Costo Unit.</t>
  </si>
  <si>
    <t>Tiempo de Entrega (Lead Time)</t>
  </si>
  <si>
    <t>Semáforo de Riesgo</t>
  </si>
  <si>
    <t>Microcontrolador</t>
  </si>
  <si>
    <t>AliExpress</t>
  </si>
  <si>
    <t>Bajo</t>
  </si>
  <si>
    <t>Inmediato</t>
  </si>
  <si>
    <t>Tipo de Tarea</t>
  </si>
  <si>
    <t>Descripción de la Tarea</t>
  </si>
  <si>
    <t>Criterio de "Terminado" (Definition of Done)</t>
  </si>
  <si>
    <t>Fecha Límite</t>
  </si>
  <si>
    <t>Compras</t>
  </si>
  <si>
    <t>Gestionar pago y envío de ítems en Amarillo.</t>
  </si>
  <si>
    <t>Prueba</t>
  </si>
  <si>
    <t>Diseño</t>
  </si>
  <si>
    <t>✅</t>
  </si>
  <si>
    <t>❌</t>
  </si>
  <si>
    <t>⚠️</t>
  </si>
  <si>
    <t>✅ Editable (Proteus)</t>
  </si>
  <si>
    <t>✅ Realizado y en baquela</t>
  </si>
  <si>
    <t>Nivel 2 (Diseñado): Prototipo diseñado en Proteus y montado en baquela.</t>
  </si>
  <si>
    <t>Actualizar esquemático con nuevos componentes</t>
  </si>
  <si>
    <t>Nivel 2: PCB diseñada en Proteus y sujeta a modificaciones</t>
  </si>
  <si>
    <t>Confirmar todos los componentes que estarán en la versión final</t>
  </si>
  <si>
    <t>Nivel 1 (Snippet): Código basado en ejemplos de sus librerías pero falta mejor calibración</t>
  </si>
  <si>
    <t>Mejorar codigo para conseguir mejores mediciones</t>
  </si>
  <si>
    <t>⚠️Diseñado con Tinkercad pero requiere cambios</t>
  </si>
  <si>
    <t>Nivel 1 (Prototipo): Hay que hacer cambios en el diseño</t>
  </si>
  <si>
    <t>Hacer nuevo diseño de la carcasa del dispositvo</t>
  </si>
  <si>
    <t>Protocolo de comunicación</t>
  </si>
  <si>
    <t>✅ Elegido y probado exitoso</t>
  </si>
  <si>
    <t xml:space="preserve">Nivel 2 (Funcionando): EL bot de telegram funciona </t>
  </si>
  <si>
    <t>Pulir los mensajes del bot e incluir alertas que hacen falta</t>
  </si>
  <si>
    <t>ESP32</t>
  </si>
  <si>
    <t>Buzzer</t>
  </si>
  <si>
    <t>MLX90614</t>
  </si>
  <si>
    <t>MPU6050</t>
  </si>
  <si>
    <t>Bot de Telegram</t>
  </si>
  <si>
    <t>Chaleco</t>
  </si>
  <si>
    <t>MAX30105</t>
  </si>
  <si>
    <t xml:space="preserve"> MAX30102</t>
  </si>
  <si>
    <t>Batería para alimentación</t>
  </si>
  <si>
    <t>Percepción</t>
  </si>
  <si>
    <t>Conectividad</t>
  </si>
  <si>
    <t>✅Librerías para Arduino IDE y pinout</t>
  </si>
  <si>
    <t>❌ No se tiene el sensor</t>
  </si>
  <si>
    <t>✅ Librería y sensor a la mano</t>
  </si>
  <si>
    <t>BLOQUEANTE: Conseguir sensor</t>
  </si>
  <si>
    <t>Listo para PCB</t>
  </si>
  <si>
    <t>❌ Falta diseño</t>
  </si>
  <si>
    <t>BLOQUEANTE: Falta diseño del chaleco</t>
  </si>
  <si>
    <t>Listo para PCB.</t>
  </si>
  <si>
    <t>Alerta: Falta definir la fuente de energía</t>
  </si>
  <si>
    <t>✅ Configurado, falta terminar</t>
  </si>
  <si>
    <t xml:space="preserve">Alerta: Falta definir otras funciones </t>
  </si>
  <si>
    <t>Aún no se ha leído</t>
  </si>
  <si>
    <t>❌ Falta definir qué batería se usará</t>
  </si>
  <si>
    <t>BLOQUEANTE: Investigar formas de alimentación</t>
  </si>
  <si>
    <t>Sensor MLX90614</t>
  </si>
  <si>
    <t>Sensor MAX30102</t>
  </si>
  <si>
    <t>Chaleco para equipar sistema</t>
  </si>
  <si>
    <t>Sensor MPU6050</t>
  </si>
  <si>
    <t>Sensor MAX30105</t>
  </si>
  <si>
    <t>Sistema de alimentación para ESP32</t>
  </si>
  <si>
    <t>Pasa</t>
  </si>
  <si>
    <t>Riesgo</t>
  </si>
  <si>
    <t>El microcontrolador funciona correctamente y es capaz de manejar los sensores</t>
  </si>
  <si>
    <t>Aún no se ha pedido el componente</t>
  </si>
  <si>
    <t>Sensor funciona bien pero aún requiere más pruebas</t>
  </si>
  <si>
    <t>El chaleco todavía no ha sido diseñado por completo</t>
  </si>
  <si>
    <t>El sensor cumple con su funcionamiento</t>
  </si>
  <si>
    <t>EL bot de telegram está correctamente configurado. Falta añadir funciones</t>
  </si>
  <si>
    <t>El sensor aún no ha sido comprado. Faltan pruebas</t>
  </si>
  <si>
    <t xml:space="preserve">Falta por definir de qué manera se alimentará el sistema </t>
  </si>
  <si>
    <t>Verificar que hayan GPIOS disponibles para todo lo que se desea conectar</t>
  </si>
  <si>
    <t>Pedir el componente y probarlo de diferentes maneras</t>
  </si>
  <si>
    <t>Verificar que el sensor pueda funcionar para medir hidratación</t>
  </si>
  <si>
    <t>Diseñar el chaleco por completo y mandarlo a hacer</t>
  </si>
  <si>
    <t>Establecer qué variable exacta medirá el MPU</t>
  </si>
  <si>
    <t>Añadir las funciones que hacen falta y volver a probar</t>
  </si>
  <si>
    <t>Conseguir el sensor y verificar que mida la variable correctamente.</t>
  </si>
  <si>
    <t>Identificar la manera más optima de mantener alimentado el sistema inalambricamente</t>
  </si>
  <si>
    <t>Sensor de ritmo cardiaco</t>
  </si>
  <si>
    <t>Sensor de movimiento</t>
  </si>
  <si>
    <t>Sensor de temperatura</t>
  </si>
  <si>
    <t>Critico</t>
  </si>
  <si>
    <t>Sensor de temperatura secundario</t>
  </si>
  <si>
    <t>ESP32 Dev Module</t>
  </si>
  <si>
    <t>MPU6050 GY-521</t>
  </si>
  <si>
    <t>MLX90614ESF-BAA</t>
  </si>
  <si>
    <t>MAX30102</t>
  </si>
  <si>
    <t>MercadoLibre</t>
  </si>
  <si>
    <t>15-20 días</t>
  </si>
  <si>
    <t>3-5 días</t>
  </si>
  <si>
    <t>Pedir lo más pronto posible</t>
  </si>
  <si>
    <t>Ya se tiene el componente</t>
  </si>
  <si>
    <t>Elemento necesario ya en propiedad</t>
  </si>
  <si>
    <t>Semana 5</t>
  </si>
  <si>
    <t>Validar funcionamiento de los otros sensores y el bot de Telegram con nuevas caracteristicas</t>
  </si>
  <si>
    <t>Sensores correctamente funcionando y chat de Telegram completo</t>
  </si>
  <si>
    <t>Semana 6</t>
  </si>
  <si>
    <t>Diseñar chaleco equipable y nueva PCB con todos los sensores</t>
  </si>
  <si>
    <t>Chaleco listo y PCB lista para soldar</t>
  </si>
  <si>
    <t>Semana 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</si>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</sst>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&quot;$&quot;\ #,##0.00"/>
  </numFmts>
  <fonts count="7">
    <font>
      <sz val="10"/>
      <color rgb="FF000000"/>
      <name val="Arial"/>
      <scheme val="minor"/>
    </font>
    <font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Lato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0" xfId="0" applyFont="1" applyAlignment="1"/>
    <xf numFmtId="0" fontId="4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6" fillId="0" borderId="0" xfId="0" applyFont="1" applyAlignment="1"/>
    <xf numFmtId="168" fontId="0" fillId="0" borderId="0" xfId="0" applyNumberFormat="1" applyFont="1" applyAlignment="1"/>
    <xf numFmtId="0" fontId="5" fillId="2" borderId="0" xfId="0" applyFont="1" applyFill="1" applyAlignment="1"/>
    <xf numFmtId="0" fontId="5" fillId="3" borderId="0" xfId="0" applyFont="1" applyFill="1" applyAlignment="1"/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Inventario-style" pivot="0" count="4" xr9:uid="{00000000-0011-0000-FFFF-FFFF00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Inventario_Subsistema-style" pivot="0" count="4" xr9:uid="{00000000-0011-0000-FFFF-FFFF01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Auditoría_Diseño-style" pivot="0" count="4" xr9:uid="{00000000-0011-0000-FFFF-FFFF02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BOM_Sourcing-style" pivot="0" count="4" xr9:uid="{00000000-0011-0000-FFFF-FFFF03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Planificador_Sprint-style" pivot="0" count="4" xr9:uid="{00000000-0011-0000-FFFF-FFFF04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_Inventario" displayName="Matriz_Inventario" ref="A1:E6">
  <tableColumns count="5">
    <tableColumn id="1" xr3:uid="{00000000-0010-0000-0000-000001000000}" name="ID"/>
    <tableColumn id="2" xr3:uid="{00000000-0010-0000-0000-000002000000}" name="Activo / Módulo"/>
    <tableColumn id="3" xr3:uid="{00000000-0010-0000-0000-000003000000}" name="Estado del Archivo (Fuente)"/>
    <tableColumn id="4" xr3:uid="{00000000-0010-0000-0000-000004000000}" name="Nivel de Madurez (¿Qué es esto?)"/>
    <tableColumn id="5" xr3:uid="{00000000-0010-0000-0000-000005000000}" name="Acción Inmediata"/>
  </tableColumns>
  <tableStyleInfo name="Inventari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ario_Subsistemas" displayName="Inventario_Subsistemas" ref="A1:E10">
  <tableColumns count="5">
    <tableColumn id="1" xr3:uid="{00000000-0010-0000-0100-000001000000}" name="Subsistema"/>
    <tableColumn id="2" xr3:uid="{00000000-0010-0000-0100-000002000000}" name="Componente Clave (Nombre/Ref)"/>
    <tableColumn id="3" xr3:uid="{00000000-0010-0000-0100-000003000000}" name="Archivo Fuente (¿Lo tengo?)"/>
    <tableColumn id="4" xr3:uid="{00000000-0010-0000-0100-000004000000}" name="Hoja de Datos (¿La leí?)"/>
    <tableColumn id="5" xr3:uid="{00000000-0010-0000-0100-000005000000}" name="Estado del Diseño"/>
  </tableColumns>
  <tableStyleInfo name="Inventario_Subsistem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riz_Auditoría" displayName="Matriz_Auditoría" ref="A1:E9">
  <tableColumns count="5">
    <tableColumn id="1" xr3:uid="{00000000-0010-0000-0200-000001000000}" name="Subsistema" dataDxfId="4"/>
    <tableColumn id="2" xr3:uid="{00000000-0010-0000-0200-000002000000}" name="Elemento Crítico" dataDxfId="2"/>
    <tableColumn id="3" xr3:uid="{00000000-0010-0000-0200-000003000000}" name="Veredicto (Pasa/Falla)" dataDxfId="0"/>
    <tableColumn id="4" xr3:uid="{00000000-0010-0000-0200-000004000000}" name="EVIDENCIA OBLIGATORIA (No Opiniones)" dataDxfId="1"/>
    <tableColumn id="5" xr3:uid="{00000000-0010-0000-0200-000005000000}" name="Acción Requerida" dataDxfId="3"/>
  </tableColumns>
  <tableStyleInfo name="Auditoría_Diseñ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1" displayName="Tabla_1" ref="A1:G6">
  <tableColumns count="7">
    <tableColumn id="1" xr3:uid="{00000000-0010-0000-0300-000001000000}" name="Nivel"/>
    <tableColumn id="2" xr3:uid="{00000000-0010-0000-0300-000002000000}" name="Ítem (Descripción)"/>
    <tableColumn id="3" xr3:uid="{00000000-0010-0000-0300-000003000000}" name="MPN (Manufacturer Part Number)"/>
    <tableColumn id="4" xr3:uid="{00000000-0010-0000-0300-000004000000}" name="Proveedor (Link)"/>
    <tableColumn id="5" xr3:uid="{00000000-0010-0000-0300-000005000000}" name="Costo Unit."/>
    <tableColumn id="6" xr3:uid="{00000000-0010-0000-0300-000006000000}" name="Tiempo de Entrega (Lead Time)"/>
    <tableColumn id="7" xr3:uid="{00000000-0010-0000-0300-000007000000}" name="Semáforo de Riesgo"/>
  </tableColumns>
  <tableStyleInfo name="BOM_Sourc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lanificador_Sprint" displayName="Planificador_Sprint" ref="A1:D4">
  <tableColumns count="4">
    <tableColumn id="1" xr3:uid="{00000000-0010-0000-0400-000001000000}" name="Tipo de Tarea"/>
    <tableColumn id="2" xr3:uid="{00000000-0010-0000-0400-000002000000}" name="Descripción de la Tarea"/>
    <tableColumn id="3" xr3:uid="{00000000-0010-0000-0400-000003000000}" name="Criterio de &quot;Terminado&quot; (Definition of Done)"/>
    <tableColumn id="4" xr3:uid="{00000000-0010-0000-0400-000004000000}" name="Fecha Límite"/>
  </tableColumns>
  <tableStyleInfo name="Planificador_Spri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12.6640625" defaultRowHeight="15.75" customHeight="1"/>
  <cols>
    <col min="2" max="2" width="23.33203125" bestFit="1" customWidth="1"/>
    <col min="3" max="3" width="35.77734375" customWidth="1"/>
    <col min="4" max="4" width="37.6640625" customWidth="1"/>
    <col min="5" max="5" width="35.88671875" customWidth="1"/>
  </cols>
  <sheetData>
    <row r="1" spans="1: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>
      <c r="A2" s="2" t="s">
        <v>5</v>
      </c>
      <c r="B2" s="3" t="s">
        <v>6</v>
      </c>
      <c r="C2" s="3" t="s">
        <v>53</v>
      </c>
      <c r="D2" s="4" t="s">
        <v>55</v>
      </c>
      <c r="E2" s="6" t="s">
        <v>56</v>
      </c>
    </row>
    <row r="3" spans="1:5" ht="26.4">
      <c r="A3" s="2" t="s">
        <v>7</v>
      </c>
      <c r="B3" s="3" t="s">
        <v>8</v>
      </c>
      <c r="C3" t="s">
        <v>54</v>
      </c>
      <c r="D3" s="4" t="s">
        <v>57</v>
      </c>
      <c r="E3" s="6" t="s">
        <v>58</v>
      </c>
    </row>
    <row r="4" spans="1:5" ht="39.6">
      <c r="A4" s="2" t="s">
        <v>9</v>
      </c>
      <c r="B4" s="3" t="s">
        <v>10</v>
      </c>
      <c r="C4" s="3" t="s">
        <v>11</v>
      </c>
      <c r="D4" s="4" t="s">
        <v>59</v>
      </c>
      <c r="E4" s="6" t="s">
        <v>60</v>
      </c>
    </row>
    <row r="5" spans="1:5" ht="26.4">
      <c r="A5" s="2" t="s">
        <v>12</v>
      </c>
      <c r="B5" s="3" t="s">
        <v>13</v>
      </c>
      <c r="C5" s="7" t="s">
        <v>61</v>
      </c>
      <c r="D5" s="4" t="s">
        <v>62</v>
      </c>
      <c r="E5" s="6" t="s">
        <v>63</v>
      </c>
    </row>
    <row r="6" spans="1:5" ht="26.4">
      <c r="B6" t="s">
        <v>64</v>
      </c>
      <c r="C6" t="s">
        <v>65</v>
      </c>
      <c r="D6" s="8" t="s">
        <v>66</v>
      </c>
      <c r="E6" s="7" t="s">
        <v>67</v>
      </c>
    </row>
    <row r="11" spans="1:5" ht="15.75" customHeight="1">
      <c r="C11" s="9" t="s">
        <v>50</v>
      </c>
    </row>
    <row r="12" spans="1:5" ht="15.75" customHeight="1">
      <c r="C12" s="9" t="s">
        <v>51</v>
      </c>
    </row>
    <row r="13" spans="1:5" ht="15.75" customHeight="1">
      <c r="C13" s="9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12.6640625" defaultRowHeight="15.75" customHeight="1"/>
  <cols>
    <col min="1" max="1" width="14.109375" customWidth="1"/>
    <col min="2" max="2" width="30.6640625" customWidth="1"/>
    <col min="3" max="3" width="26.6640625" customWidth="1"/>
    <col min="4" max="4" width="23.21875" customWidth="1"/>
    <col min="5" max="5" width="34.109375" customWidth="1"/>
  </cols>
  <sheetData>
    <row r="1" spans="1:5" ht="22.5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ht="26.4">
      <c r="A2" s="2" t="s">
        <v>29</v>
      </c>
      <c r="B2" s="3" t="s">
        <v>68</v>
      </c>
      <c r="C2" s="6" t="s">
        <v>79</v>
      </c>
      <c r="D2" s="3" t="s">
        <v>19</v>
      </c>
      <c r="E2" s="3" t="s">
        <v>87</v>
      </c>
    </row>
    <row r="3" spans="1:5" ht="22.5" customHeight="1">
      <c r="A3" s="2" t="s">
        <v>77</v>
      </c>
      <c r="B3" s="3" t="s">
        <v>69</v>
      </c>
      <c r="C3" s="3" t="s">
        <v>20</v>
      </c>
      <c r="D3" s="3" t="s">
        <v>21</v>
      </c>
      <c r="E3" s="3" t="s">
        <v>86</v>
      </c>
    </row>
    <row r="4" spans="1:5" ht="22.5" customHeight="1">
      <c r="A4" s="2" t="s">
        <v>77</v>
      </c>
      <c r="B4" s="3" t="s">
        <v>70</v>
      </c>
      <c r="C4" s="3" t="s">
        <v>80</v>
      </c>
      <c r="D4" s="3" t="s">
        <v>21</v>
      </c>
      <c r="E4" s="3" t="s">
        <v>82</v>
      </c>
    </row>
    <row r="5" spans="1:5" ht="22.5" customHeight="1">
      <c r="A5" s="2" t="s">
        <v>77</v>
      </c>
      <c r="B5" s="3" t="s">
        <v>75</v>
      </c>
      <c r="C5" s="3" t="s">
        <v>81</v>
      </c>
      <c r="D5" s="5" t="s">
        <v>21</v>
      </c>
      <c r="E5" s="3" t="s">
        <v>83</v>
      </c>
    </row>
    <row r="6" spans="1:5" ht="22.5" customHeight="1">
      <c r="A6" s="2" t="s">
        <v>22</v>
      </c>
      <c r="B6" s="3" t="s">
        <v>73</v>
      </c>
      <c r="C6" s="3" t="s">
        <v>84</v>
      </c>
      <c r="D6" s="3" t="s">
        <v>23</v>
      </c>
      <c r="E6" s="3" t="s">
        <v>85</v>
      </c>
    </row>
    <row r="7" spans="1:5" ht="15.75" customHeight="1">
      <c r="A7" s="11" t="s">
        <v>77</v>
      </c>
      <c r="B7" s="9" t="s">
        <v>71</v>
      </c>
      <c r="C7" s="5" t="s">
        <v>81</v>
      </c>
      <c r="D7" s="5" t="s">
        <v>21</v>
      </c>
      <c r="E7" s="5" t="s">
        <v>83</v>
      </c>
    </row>
    <row r="8" spans="1:5" ht="15.75" customHeight="1">
      <c r="A8" s="11" t="s">
        <v>78</v>
      </c>
      <c r="B8" s="9" t="s">
        <v>72</v>
      </c>
      <c r="C8" s="5" t="s">
        <v>88</v>
      </c>
      <c r="D8" s="9" t="s">
        <v>23</v>
      </c>
      <c r="E8" s="9" t="s">
        <v>89</v>
      </c>
    </row>
    <row r="9" spans="1:5" ht="15.75" customHeight="1">
      <c r="A9" s="11" t="s">
        <v>77</v>
      </c>
      <c r="B9" s="9" t="s">
        <v>74</v>
      </c>
      <c r="C9" s="5" t="s">
        <v>80</v>
      </c>
      <c r="D9" s="9" t="s">
        <v>90</v>
      </c>
      <c r="E9" s="9" t="s">
        <v>82</v>
      </c>
    </row>
    <row r="10" spans="1:5" ht="26.4">
      <c r="A10" s="11" t="s">
        <v>28</v>
      </c>
      <c r="B10" s="9" t="s">
        <v>76</v>
      </c>
      <c r="C10" s="6" t="s">
        <v>91</v>
      </c>
      <c r="D10" s="9" t="s">
        <v>23</v>
      </c>
      <c r="E10" s="10" t="s">
        <v>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6"/>
  <sheetViews>
    <sheetView workbookViewId="0">
      <pane ySplit="1" topLeftCell="A2" activePane="bottomLeft" state="frozen"/>
      <selection pane="bottomLeft" activeCell="D9" sqref="D9"/>
    </sheetView>
  </sheetViews>
  <sheetFormatPr baseColWidth="10" defaultColWidth="12.6640625" defaultRowHeight="15.75" customHeight="1"/>
  <cols>
    <col min="1" max="1" width="16.33203125" customWidth="1"/>
    <col min="2" max="2" width="20.44140625" customWidth="1"/>
    <col min="3" max="3" width="25.109375" customWidth="1"/>
    <col min="4" max="4" width="37.6640625" customWidth="1"/>
    <col min="5" max="5" width="36" customWidth="1"/>
  </cols>
  <sheetData>
    <row r="1" spans="1:5" ht="22.5" customHeight="1">
      <c r="A1" s="1" t="s">
        <v>14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ht="26.4">
      <c r="A2" s="12" t="s">
        <v>29</v>
      </c>
      <c r="B2" s="13" t="s">
        <v>68</v>
      </c>
      <c r="C2" s="15" t="s">
        <v>99</v>
      </c>
      <c r="D2" s="14" t="s">
        <v>101</v>
      </c>
      <c r="E2" s="14" t="s">
        <v>109</v>
      </c>
    </row>
    <row r="3" spans="1:5" ht="26.4">
      <c r="A3" s="12" t="s">
        <v>77</v>
      </c>
      <c r="B3" s="13" t="s">
        <v>93</v>
      </c>
      <c r="C3" s="16" t="s">
        <v>100</v>
      </c>
      <c r="D3" s="13" t="s">
        <v>102</v>
      </c>
      <c r="E3" s="14" t="s">
        <v>110</v>
      </c>
    </row>
    <row r="4" spans="1:5" ht="26.4">
      <c r="A4" s="12" t="s">
        <v>77</v>
      </c>
      <c r="B4" s="13" t="s">
        <v>94</v>
      </c>
      <c r="C4" s="15" t="s">
        <v>99</v>
      </c>
      <c r="D4" s="14" t="s">
        <v>103</v>
      </c>
      <c r="E4" s="14" t="s">
        <v>111</v>
      </c>
    </row>
    <row r="5" spans="1:5" ht="26.4">
      <c r="A5" s="12" t="s">
        <v>30</v>
      </c>
      <c r="B5" s="14" t="s">
        <v>95</v>
      </c>
      <c r="C5" s="16" t="s">
        <v>100</v>
      </c>
      <c r="D5" s="14" t="s">
        <v>104</v>
      </c>
      <c r="E5" s="14" t="s">
        <v>112</v>
      </c>
    </row>
    <row r="6" spans="1:5" ht="26.4">
      <c r="A6" s="12" t="s">
        <v>77</v>
      </c>
      <c r="B6" s="13" t="s">
        <v>96</v>
      </c>
      <c r="C6" s="15" t="s">
        <v>99</v>
      </c>
      <c r="D6" s="14" t="s">
        <v>105</v>
      </c>
      <c r="E6" s="14" t="s">
        <v>113</v>
      </c>
    </row>
    <row r="7" spans="1:5" ht="26.4">
      <c r="A7" s="12" t="s">
        <v>78</v>
      </c>
      <c r="B7" s="13" t="s">
        <v>72</v>
      </c>
      <c r="C7" s="15" t="s">
        <v>99</v>
      </c>
      <c r="D7" s="14" t="s">
        <v>106</v>
      </c>
      <c r="E7" s="14" t="s">
        <v>114</v>
      </c>
    </row>
    <row r="8" spans="1:5" ht="26.4">
      <c r="A8" s="12" t="s">
        <v>77</v>
      </c>
      <c r="B8" s="13" t="s">
        <v>97</v>
      </c>
      <c r="C8" s="16" t="s">
        <v>100</v>
      </c>
      <c r="D8" s="14" t="s">
        <v>107</v>
      </c>
      <c r="E8" s="14" t="s">
        <v>115</v>
      </c>
    </row>
    <row r="9" spans="1:5" ht="39.6">
      <c r="A9" s="12" t="s">
        <v>28</v>
      </c>
      <c r="B9" s="14" t="s">
        <v>98</v>
      </c>
      <c r="C9" s="16" t="s">
        <v>100</v>
      </c>
      <c r="D9" s="14" t="s">
        <v>108</v>
      </c>
      <c r="E9" s="14" t="s">
        <v>116</v>
      </c>
    </row>
    <row r="10" spans="1:5" ht="13.2"/>
    <row r="11" spans="1:5" ht="13.2"/>
    <row r="12" spans="1:5" ht="13.2"/>
    <row r="13" spans="1:5" ht="13.2"/>
    <row r="14" spans="1:5" ht="13.2"/>
    <row r="15" spans="1:5" ht="13.2"/>
    <row r="16" spans="1:5" ht="13.2"/>
  </sheetData>
  <dataValidations count="1">
    <dataValidation type="list" allowBlank="1" sqref="C2:C9" xr:uid="{00000000-0002-0000-0200-000000000000}">
      <formula1>"🔴 Falla,🟢 Pasa,🟡 Riesgo"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5"/>
  <sheetViews>
    <sheetView workbookViewId="0">
      <pane ySplit="1" topLeftCell="A2" activePane="bottomLeft" state="frozen"/>
      <selection pane="bottomLeft" activeCell="E15" sqref="E15"/>
    </sheetView>
  </sheetViews>
  <sheetFormatPr baseColWidth="10" defaultColWidth="12.6640625" defaultRowHeight="15.75" customHeight="1"/>
  <cols>
    <col min="2" max="2" width="21.77734375" bestFit="1" customWidth="1"/>
    <col min="3" max="3" width="31" customWidth="1"/>
    <col min="4" max="4" width="17.88671875" customWidth="1"/>
    <col min="5" max="5" width="13.88671875" customWidth="1"/>
    <col min="6" max="6" width="29.21875" customWidth="1"/>
    <col min="7" max="7" width="37.6640625" customWidth="1"/>
  </cols>
  <sheetData>
    <row r="1" spans="1:7" ht="22.5" customHeigh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ht="15.75" customHeight="1">
      <c r="A2" s="9" t="s">
        <v>120</v>
      </c>
      <c r="B2" s="9" t="s">
        <v>38</v>
      </c>
      <c r="C2" t="s">
        <v>122</v>
      </c>
      <c r="D2" s="9" t="s">
        <v>39</v>
      </c>
      <c r="E2" s="18">
        <v>10000</v>
      </c>
      <c r="F2" s="9" t="s">
        <v>41</v>
      </c>
      <c r="G2" s="19" t="s">
        <v>130</v>
      </c>
    </row>
    <row r="3" spans="1:7" ht="15.75" customHeight="1">
      <c r="A3" s="9" t="s">
        <v>120</v>
      </c>
      <c r="B3" s="9" t="s">
        <v>117</v>
      </c>
      <c r="C3" t="s">
        <v>74</v>
      </c>
      <c r="D3" s="9" t="s">
        <v>39</v>
      </c>
      <c r="E3" s="18">
        <v>30000</v>
      </c>
      <c r="F3" s="9" t="s">
        <v>127</v>
      </c>
      <c r="G3" s="20" t="s">
        <v>129</v>
      </c>
    </row>
    <row r="4" spans="1:7" ht="15.75" customHeight="1">
      <c r="A4" s="9" t="s">
        <v>120</v>
      </c>
      <c r="B4" s="9" t="s">
        <v>118</v>
      </c>
      <c r="C4" t="s">
        <v>123</v>
      </c>
      <c r="D4" s="9" t="s">
        <v>126</v>
      </c>
      <c r="E4" s="18">
        <v>20000</v>
      </c>
      <c r="F4" s="9" t="s">
        <v>41</v>
      </c>
      <c r="G4" s="19" t="s">
        <v>130</v>
      </c>
    </row>
    <row r="5" spans="1:7" ht="15.75" customHeight="1">
      <c r="A5" s="9" t="s">
        <v>120</v>
      </c>
      <c r="B5" s="9" t="s">
        <v>119</v>
      </c>
      <c r="C5" s="17" t="s">
        <v>124</v>
      </c>
      <c r="D5" s="9" t="s">
        <v>126</v>
      </c>
      <c r="E5" s="18">
        <v>47000</v>
      </c>
      <c r="F5" s="9" t="s">
        <v>128</v>
      </c>
      <c r="G5" s="20" t="s">
        <v>129</v>
      </c>
    </row>
    <row r="6" spans="1:7" ht="26.4">
      <c r="A6" s="9" t="s">
        <v>40</v>
      </c>
      <c r="B6" s="10" t="s">
        <v>121</v>
      </c>
      <c r="C6" s="9" t="s">
        <v>125</v>
      </c>
      <c r="D6" s="9" t="s">
        <v>126</v>
      </c>
      <c r="E6" s="18">
        <v>28000</v>
      </c>
      <c r="F6" s="9" t="s">
        <v>41</v>
      </c>
      <c r="G6" s="19" t="s">
        <v>130</v>
      </c>
    </row>
    <row r="15" spans="1:7" ht="15.75" customHeight="1">
      <c r="E15" s="9" t="s">
        <v>139</v>
      </c>
    </row>
  </sheetData>
  <dataValidations count="2">
    <dataValidation type="list" allowBlank="1" sqref="A2:A6" xr:uid="{00000000-0002-0000-0300-000000000000}">
      <formula1>"Crítico,Medio,Bajo"</formula1>
    </dataValidation>
    <dataValidation type="list" allowBlank="1" sqref="G2:G6" xr:uid="{00000000-0002-0000-0300-000001000000}">
      <formula1>"🟢 VERDE (Proceder),🟡 AMARILLO (Pedir HOY),🔴 ROJO (BLOQUEANTE - Cambiar Proveedor)"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5.77734375" customWidth="1"/>
    <col min="2" max="3" width="37.6640625" customWidth="1"/>
    <col min="4" max="4" width="16.88671875" customWidth="1"/>
  </cols>
  <sheetData>
    <row r="1" spans="1:4" ht="22.5" customHeight="1">
      <c r="A1" s="1" t="s">
        <v>42</v>
      </c>
      <c r="B1" s="1" t="s">
        <v>43</v>
      </c>
      <c r="C1" s="1" t="s">
        <v>44</v>
      </c>
      <c r="D1" s="1" t="s">
        <v>45</v>
      </c>
    </row>
    <row r="2" spans="1:4" ht="13.2">
      <c r="A2" s="2" t="s">
        <v>46</v>
      </c>
      <c r="B2" s="3" t="s">
        <v>47</v>
      </c>
      <c r="C2" s="3" t="s">
        <v>131</v>
      </c>
      <c r="D2" s="3" t="s">
        <v>132</v>
      </c>
    </row>
    <row r="3" spans="1:4" ht="39.6">
      <c r="A3" s="2" t="s">
        <v>48</v>
      </c>
      <c r="B3" s="6" t="s">
        <v>133</v>
      </c>
      <c r="C3" s="6" t="s">
        <v>134</v>
      </c>
      <c r="D3" s="3" t="s">
        <v>135</v>
      </c>
    </row>
    <row r="4" spans="1:4" ht="26.4">
      <c r="A4" s="2" t="s">
        <v>49</v>
      </c>
      <c r="B4" s="6" t="s">
        <v>136</v>
      </c>
      <c r="C4" s="3" t="s">
        <v>137</v>
      </c>
      <c r="D4" s="3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Inventario_Subsistema</vt:lpstr>
      <vt:lpstr>Auditoría_Diseño</vt:lpstr>
      <vt:lpstr>BOM_Sourcing</vt:lpstr>
      <vt:lpstr>Planificador_Sprint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MAJITO LOAIZA</dc:creator>
  <cp:lastModifiedBy>mariajose loaiza henao</cp:lastModifiedBy>
  <dcterms:created xsi:type="dcterms:W3CDTF">2026-02-22T20:48:35Z</dcterms:created>
  <dcterms:modified xsi:type="dcterms:W3CDTF">2026-02-22T20:48:35Z</dcterms:modified>
</cp:coreProperties>
</file>